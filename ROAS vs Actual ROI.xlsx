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ata Analysis Projects\E-Commerce\Analysis\Excel\"/>
    </mc:Choice>
  </mc:AlternateContent>
  <xr:revisionPtr revIDLastSave="0" documentId="13_ncr:1_{A437B19B-CDBF-4919-82CE-3D0B083E25AB}" xr6:coauthVersionLast="47" xr6:coauthVersionMax="47" xr10:uidLastSave="{00000000-0000-0000-0000-000000000000}"/>
  <bookViews>
    <workbookView xWindow="0" yWindow="0" windowWidth="20490" windowHeight="11070" xr2:uid="{1B9C001D-5055-4A9A-88AB-80B1E6C4E371}"/>
  </bookViews>
  <sheets>
    <sheet name="ROAS vs Actual ROI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D26" i="1"/>
  <c r="E26" i="1"/>
  <c r="B26" i="1"/>
</calcChain>
</file>

<file path=xl/sharedStrings.xml><?xml version="1.0" encoding="utf-8"?>
<sst xmlns="http://schemas.openxmlformats.org/spreadsheetml/2006/main" count="29" uniqueCount="29">
  <si>
    <t>year_month</t>
  </si>
  <si>
    <t>total_marketing_spend</t>
  </si>
  <si>
    <t>actual_net_revenue</t>
  </si>
  <si>
    <t>actual_order_profit</t>
  </si>
  <si>
    <t>business_net_profit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</si>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</sst>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165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'ROAS vs Actual ROI'!$B$1</c:f>
              <c:strCache>
                <c:ptCount val="1"/>
                <c:pt idx="0">
                  <c:v>total_marketing_spend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82-454E-AF66-A3DD1AE583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'ROAS vs Actual ROI'!$A$2:$A$25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'ROAS vs Actual ROI'!$B$2:$B$25</c:f>
              <c:numCache>
                <c:formatCode>"$"#,##0.00</c:formatCode>
                <c:ptCount val="24"/>
                <c:pt idx="0">
                  <c:v>11306.93</c:v>
                </c:pt>
                <c:pt idx="1">
                  <c:v>15177.039999999901</c:v>
                </c:pt>
                <c:pt idx="2">
                  <c:v>18855.04</c:v>
                </c:pt>
                <c:pt idx="3">
                  <c:v>23946.41</c:v>
                </c:pt>
                <c:pt idx="4">
                  <c:v>16540.98</c:v>
                </c:pt>
                <c:pt idx="5">
                  <c:v>23991.32</c:v>
                </c:pt>
                <c:pt idx="6">
                  <c:v>27005.81</c:v>
                </c:pt>
                <c:pt idx="7">
                  <c:v>20174.91</c:v>
                </c:pt>
                <c:pt idx="8">
                  <c:v>18008.45</c:v>
                </c:pt>
                <c:pt idx="9">
                  <c:v>20861.66</c:v>
                </c:pt>
                <c:pt idx="10">
                  <c:v>34835.46</c:v>
                </c:pt>
                <c:pt idx="11">
                  <c:v>20877.23</c:v>
                </c:pt>
                <c:pt idx="12">
                  <c:v>13696.68</c:v>
                </c:pt>
                <c:pt idx="13">
                  <c:v>14275.77</c:v>
                </c:pt>
                <c:pt idx="14">
                  <c:v>19202.310000000001</c:v>
                </c:pt>
                <c:pt idx="15">
                  <c:v>21889.59</c:v>
                </c:pt>
                <c:pt idx="16">
                  <c:v>16489.39</c:v>
                </c:pt>
                <c:pt idx="17">
                  <c:v>23715.040000000001</c:v>
                </c:pt>
                <c:pt idx="18">
                  <c:v>20058.84</c:v>
                </c:pt>
                <c:pt idx="19">
                  <c:v>19019.41</c:v>
                </c:pt>
                <c:pt idx="20">
                  <c:v>18346.59</c:v>
                </c:pt>
                <c:pt idx="21">
                  <c:v>23271.58</c:v>
                </c:pt>
                <c:pt idx="22">
                  <c:v>26547.32</c:v>
                </c:pt>
                <c:pt idx="23">
                  <c:v>35412.379999999997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82-454E-AF66-A3DD1AE583F1}"/>
            </c:ext>
          </c:extLst>
        </c:ser>
        <c:ser>
          <c:idx val="1"/>
          <c:order val="1"/>
          <c:tx>
            <c:strRef>
              <c:f>'ROAS vs Actual ROI'!$C$1</c:f>
              <c:strCache>
                <c:ptCount val="1"/>
                <c:pt idx="0">
                  <c:v>actual_net_revenue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982-454E-AF66-A3DD1AE583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'ROAS vs Actual ROI'!$A$2:$A$25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'ROAS vs Actual ROI'!$C$2:$C$25</c:f>
              <c:numCache>
                <c:formatCode>"$"#,##0.00</c:formatCode>
                <c:ptCount val="24"/>
                <c:pt idx="0">
                  <c:v>306.55</c:v>
                </c:pt>
                <c:pt idx="1">
                  <c:v>1006.05</c:v>
                </c:pt>
                <c:pt idx="2">
                  <c:v>2819.47</c:v>
                </c:pt>
                <c:pt idx="3">
                  <c:v>3340.51</c:v>
                </c:pt>
                <c:pt idx="4">
                  <c:v>6829.23</c:v>
                </c:pt>
                <c:pt idx="5">
                  <c:v>5575.61</c:v>
                </c:pt>
                <c:pt idx="6">
                  <c:v>5827.44</c:v>
                </c:pt>
                <c:pt idx="7">
                  <c:v>8166.01</c:v>
                </c:pt>
                <c:pt idx="8">
                  <c:v>7814.33</c:v>
                </c:pt>
                <c:pt idx="9">
                  <c:v>6854.56</c:v>
                </c:pt>
                <c:pt idx="10">
                  <c:v>9778.75</c:v>
                </c:pt>
                <c:pt idx="11">
                  <c:v>13580.2</c:v>
                </c:pt>
                <c:pt idx="12">
                  <c:v>12374.47</c:v>
                </c:pt>
                <c:pt idx="13">
                  <c:v>12150.04</c:v>
                </c:pt>
                <c:pt idx="14">
                  <c:v>16281.16</c:v>
                </c:pt>
                <c:pt idx="15">
                  <c:v>14512.55</c:v>
                </c:pt>
                <c:pt idx="16">
                  <c:v>18314.84</c:v>
                </c:pt>
                <c:pt idx="17">
                  <c:v>19823.62</c:v>
                </c:pt>
                <c:pt idx="18">
                  <c:v>18465.75</c:v>
                </c:pt>
                <c:pt idx="19">
                  <c:v>17126.900000000001</c:v>
                </c:pt>
                <c:pt idx="20">
                  <c:v>14036.75</c:v>
                </c:pt>
                <c:pt idx="21">
                  <c:v>9938.24</c:v>
                </c:pt>
                <c:pt idx="22">
                  <c:v>7722.05</c:v>
                </c:pt>
                <c:pt idx="23">
                  <c:v>3369.97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82-454E-AF66-A3DD1AE583F1}"/>
            </c:ext>
          </c:extLst>
        </c:ser>
        <c:ser>
          <c:idx val="2"/>
          <c:order val="2"/>
          <c:tx>
            <c:strRef>
              <c:f>'ROAS vs Actual ROI'!$D$1</c:f>
              <c:strCache>
                <c:ptCount val="1"/>
                <c:pt idx="0">
                  <c:v>actual_order_profit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2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82-454E-AF66-A3DD1AE583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'ROAS vs Actual ROI'!$A$2:$A$25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'ROAS vs Actual ROI'!$D$2:$D$25</c:f>
              <c:numCache>
                <c:formatCode>"$"#,##0.00</c:formatCode>
                <c:ptCount val="24"/>
                <c:pt idx="0">
                  <c:v>70.47</c:v>
                </c:pt>
                <c:pt idx="1">
                  <c:v>216.5</c:v>
                </c:pt>
                <c:pt idx="2">
                  <c:v>831.72</c:v>
                </c:pt>
                <c:pt idx="3">
                  <c:v>897.81999999999903</c:v>
                </c:pt>
                <c:pt idx="4">
                  <c:v>2339.52</c:v>
                </c:pt>
                <c:pt idx="5">
                  <c:v>1160.95</c:v>
                </c:pt>
                <c:pt idx="6">
                  <c:v>1690.26</c:v>
                </c:pt>
                <c:pt idx="7">
                  <c:v>1584.78</c:v>
                </c:pt>
                <c:pt idx="8">
                  <c:v>814.31</c:v>
                </c:pt>
                <c:pt idx="9">
                  <c:v>1394.18</c:v>
                </c:pt>
                <c:pt idx="10">
                  <c:v>2523.75</c:v>
                </c:pt>
                <c:pt idx="11">
                  <c:v>3517.09</c:v>
                </c:pt>
                <c:pt idx="12">
                  <c:v>2668.01</c:v>
                </c:pt>
                <c:pt idx="13">
                  <c:v>3494.79</c:v>
                </c:pt>
                <c:pt idx="14">
                  <c:v>4066.05</c:v>
                </c:pt>
                <c:pt idx="15">
                  <c:v>4206.8</c:v>
                </c:pt>
                <c:pt idx="16">
                  <c:v>4724.3999999999996</c:v>
                </c:pt>
                <c:pt idx="17">
                  <c:v>4821.29</c:v>
                </c:pt>
                <c:pt idx="18">
                  <c:v>4035.97</c:v>
                </c:pt>
                <c:pt idx="19">
                  <c:v>3981.72</c:v>
                </c:pt>
                <c:pt idx="20">
                  <c:v>2744.64</c:v>
                </c:pt>
                <c:pt idx="21">
                  <c:v>2193.62</c:v>
                </c:pt>
                <c:pt idx="22">
                  <c:v>1675.07</c:v>
                </c:pt>
                <c:pt idx="23">
                  <c:v>565.84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82-454E-AF66-A3DD1AE583F1}"/>
            </c:ext>
          </c:extLst>
        </c:ser>
        <c:ser>
          <c:idx val="3"/>
          <c:order val="3"/>
          <c:tx>
            <c:strRef>
              <c:f>'ROAS vs Actual ROI'!$E$1</c:f>
              <c:strCache>
                <c:ptCount val="1"/>
                <c:pt idx="0">
                  <c:v>business_net_profit</c:v>
                </c:pt>
              </c:strCache>
            </c:strRef>
          </c:tx>
          <c:spPr>
            <a:ln w="28575" cap="rnd">
              <a:solidFill>
                <a:srgbClr val="EE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E0000"/>
              </a:solidFill>
              <a:ln w="9525">
                <a:solidFill>
                  <a:srgbClr val="EE0000"/>
                </a:solidFill>
              </a:ln>
              <a:effectLst/>
            </c:spPr>
          </c:marker>
          <c:dPt>
            <c:idx val="22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rgbClr val="EE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C982-454E-AF66-A3DD1AE583F1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rgbClr val="EE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C982-454E-AF66-A3DD1AE583F1}"/>
              </c:ext>
            </c:extLst>
          </c:dPt>
          <c:dLbls>
            <c:dLbl>
              <c:idx val="2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982-454E-AF66-A3DD1AE583F1}"/>
                </c:ext>
              </c:extLst>
            </c:dLbl>
            <c:dLbl>
              <c:idx val="23"/>
              <c:spPr>
                <a:solidFill>
                  <a:schemeClr val="bg1"/>
                </a:solidFill>
                <a:ln>
                  <a:solidFill>
                    <a:srgbClr val="C0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982-454E-AF66-A3DD1AE583F1}"/>
                </c:ext>
              </c:extLst>
            </c:dLbl>
            <c:spPr>
              <a:solidFill>
                <a:schemeClr val="bg1"/>
              </a:solidFill>
              <a:ln>
                <a:solidFill>
                  <a:srgbClr val="EE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'ROAS vs Actual ROI'!$A$2:$A$25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'ROAS vs Actual ROI'!$E$2:$E$25</c:f>
              <c:numCache>
                <c:formatCode>"$"#,##0.00</c:formatCode>
                <c:ptCount val="24"/>
                <c:pt idx="0">
                  <c:v>-11236.46</c:v>
                </c:pt>
                <c:pt idx="1">
                  <c:v>-14960.539999999901</c:v>
                </c:pt>
                <c:pt idx="2">
                  <c:v>-18023.32</c:v>
                </c:pt>
                <c:pt idx="3">
                  <c:v>-23048.59</c:v>
                </c:pt>
                <c:pt idx="4">
                  <c:v>-14201.46</c:v>
                </c:pt>
                <c:pt idx="5">
                  <c:v>-22830.37</c:v>
                </c:pt>
                <c:pt idx="6">
                  <c:v>-25315.55</c:v>
                </c:pt>
                <c:pt idx="7">
                  <c:v>-18590.13</c:v>
                </c:pt>
                <c:pt idx="8">
                  <c:v>-17194.14</c:v>
                </c:pt>
                <c:pt idx="9">
                  <c:v>-19467.48</c:v>
                </c:pt>
                <c:pt idx="10">
                  <c:v>-32311.71</c:v>
                </c:pt>
                <c:pt idx="11">
                  <c:v>-17360.14</c:v>
                </c:pt>
                <c:pt idx="12">
                  <c:v>-11028.67</c:v>
                </c:pt>
                <c:pt idx="13">
                  <c:v>-10780.98</c:v>
                </c:pt>
                <c:pt idx="14">
                  <c:v>-15136.26</c:v>
                </c:pt>
                <c:pt idx="15">
                  <c:v>-17682.79</c:v>
                </c:pt>
                <c:pt idx="16">
                  <c:v>-11764.99</c:v>
                </c:pt>
                <c:pt idx="17">
                  <c:v>-18893.75</c:v>
                </c:pt>
                <c:pt idx="18">
                  <c:v>-16022.869999999901</c:v>
                </c:pt>
                <c:pt idx="19">
                  <c:v>-15037.69</c:v>
                </c:pt>
                <c:pt idx="20">
                  <c:v>-15601.95</c:v>
                </c:pt>
                <c:pt idx="21">
                  <c:v>-21077.96</c:v>
                </c:pt>
                <c:pt idx="22">
                  <c:v>-24872.25</c:v>
                </c:pt>
                <c:pt idx="23">
                  <c:v>-34846.54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982-454E-AF66-A3DD1AE58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9911023"/>
        <c:axId val="568070479"/>
      </c:lineChart>
      <c:catAx>
        <c:axId val="59991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8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070479"/>
        <c:crosses val="autoZero"/>
        <c:auto val="1"/>
        <c:lblAlgn val="ctr"/>
        <c:lblOffset val="100"/>
        <c:noMultiLvlLbl val="0"/>
      </c:catAx>
      <c:valAx>
        <c:axId val="568070479"/>
        <c:scaling>
          <c:orientation val="minMax"/>
        </c:scaling>
        <c:delete val="0"/>
        <c:axPos val="l"/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91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4695506811648539E-2"/>
          <c:y val="0.91936863549440884"/>
          <c:w val="0.96251359205099363"/>
          <c:h val="5.9482263342390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200660</xdr:colOff>
      <xdr:row>19</xdr:row>
      <xdr:rowOff>173990</xdr:rowOff>
    </xdr:to>
    <xdr:graphicFrame macro="">
      <xdr:nvGraphicFramePr>
        <xdr:cNvPr id="6" name="Chart 5" descr="Chart">
          <a:extLst>
            <a:ext uri="{FF2B5EF4-FFF2-40B4-BE49-F238E27FC236}">
              <a16:creationId xmlns:a16="http://schemas.microsoft.com/office/drawing/2014/main" id="{4840250C-3173-1220-AF18-2775A8C519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Custom 17">
    <a:dk1>
      <a:srgbClr val="262140"/>
    </a:dk1>
    <a:lt1>
      <a:srgbClr val="FFFFFF"/>
    </a:lt1>
    <a:dk2>
      <a:srgbClr val="3A3363"/>
    </a:dk2>
    <a:lt2>
      <a:srgbClr val="FFFFFF"/>
    </a:lt2>
    <a:accent1>
      <a:srgbClr val="F3D569"/>
    </a:accent1>
    <a:accent2>
      <a:srgbClr val="7DC6F3"/>
    </a:accent2>
    <a:accent3>
      <a:srgbClr val="F3D569"/>
    </a:accent3>
    <a:accent4>
      <a:srgbClr val="2F4B83"/>
    </a:accent4>
    <a:accent5>
      <a:srgbClr val="473D6C"/>
    </a:accent5>
    <a:accent6>
      <a:srgbClr val="3F3F75"/>
    </a:accent6>
    <a:hlink>
      <a:srgbClr val="ECBE18"/>
    </a:hlink>
    <a:folHlink>
      <a:srgbClr val="ECBE18"/>
    </a:folHlink>
  </a:clrScheme>
  <a:fontScheme name="Custom 16">
    <a:majorFont>
      <a:latin typeface="Century Gothic"/>
      <a:ea typeface=""/>
      <a:cs typeface=""/>
    </a:majorFont>
    <a:minorFont>
      <a:latin typeface="Microsoft Sans Serif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56934-A9F8-42C8-A507-E4BA281E5CE6}">
  <dimension ref="A1:E26"/>
  <sheetViews>
    <sheetView tabSelected="1" workbookViewId="0">
      <selection activeCell="G2" sqref="G2"/>
    </sheetView>
  </sheetViews>
  <sheetFormatPr defaultRowHeight="15" x14ac:dyDescent="0.25"/>
  <cols>
    <col min="2" max="2" width="21.42578125" bestFit="1" customWidth="1"/>
    <col min="3" max="3" width="18.140625" bestFit="1" customWidth="1"/>
    <col min="4" max="4" width="18" bestFit="1" customWidth="1"/>
    <col min="5" max="5" width="18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11306.93</v>
      </c>
      <c r="C2" s="1">
        <v>306.55</v>
      </c>
      <c r="D2" s="1">
        <v>70.47</v>
      </c>
      <c r="E2" s="1">
        <v>-11236.46</v>
      </c>
    </row>
    <row r="3" spans="1:5" x14ac:dyDescent="0.25">
      <c r="A3" t="s">
        <v>6</v>
      </c>
      <c r="B3" s="1">
        <v>15177.039999999901</v>
      </c>
      <c r="C3" s="1">
        <v>1006.05</v>
      </c>
      <c r="D3" s="1">
        <v>216.5</v>
      </c>
      <c r="E3" s="1">
        <v>-14960.539999999901</v>
      </c>
    </row>
    <row r="4" spans="1:5" x14ac:dyDescent="0.25">
      <c r="A4" t="s">
        <v>7</v>
      </c>
      <c r="B4" s="1">
        <v>18855.04</v>
      </c>
      <c r="C4" s="1">
        <v>2819.47</v>
      </c>
      <c r="D4" s="1">
        <v>831.72</v>
      </c>
      <c r="E4" s="1">
        <v>-18023.32</v>
      </c>
    </row>
    <row r="5" spans="1:5" x14ac:dyDescent="0.25">
      <c r="A5" t="s">
        <v>8</v>
      </c>
      <c r="B5" s="1">
        <v>23946.41</v>
      </c>
      <c r="C5" s="1">
        <v>3340.51</v>
      </c>
      <c r="D5" s="1">
        <v>897.81999999999903</v>
      </c>
      <c r="E5" s="1">
        <v>-23048.59</v>
      </c>
    </row>
    <row r="6" spans="1:5" x14ac:dyDescent="0.25">
      <c r="A6" t="s">
        <v>9</v>
      </c>
      <c r="B6" s="1">
        <v>16540.98</v>
      </c>
      <c r="C6" s="1">
        <v>6829.23</v>
      </c>
      <c r="D6" s="1">
        <v>2339.52</v>
      </c>
      <c r="E6" s="1">
        <v>-14201.46</v>
      </c>
    </row>
    <row r="7" spans="1:5" x14ac:dyDescent="0.25">
      <c r="A7" t="s">
        <v>10</v>
      </c>
      <c r="B7" s="1">
        <v>23991.32</v>
      </c>
      <c r="C7" s="1">
        <v>5575.61</v>
      </c>
      <c r="D7" s="1">
        <v>1160.95</v>
      </c>
      <c r="E7" s="1">
        <v>-22830.37</v>
      </c>
    </row>
    <row r="8" spans="1:5" x14ac:dyDescent="0.25">
      <c r="A8" t="s">
        <v>11</v>
      </c>
      <c r="B8" s="1">
        <v>27005.81</v>
      </c>
      <c r="C8" s="1">
        <v>5827.44</v>
      </c>
      <c r="D8" s="1">
        <v>1690.26</v>
      </c>
      <c r="E8" s="1">
        <v>-25315.55</v>
      </c>
    </row>
    <row r="9" spans="1:5" x14ac:dyDescent="0.25">
      <c r="A9" t="s">
        <v>12</v>
      </c>
      <c r="B9" s="1">
        <v>20174.91</v>
      </c>
      <c r="C9" s="1">
        <v>8166.01</v>
      </c>
      <c r="D9" s="1">
        <v>1584.78</v>
      </c>
      <c r="E9" s="1">
        <v>-18590.13</v>
      </c>
    </row>
    <row r="10" spans="1:5" x14ac:dyDescent="0.25">
      <c r="A10" t="s">
        <v>13</v>
      </c>
      <c r="B10" s="1">
        <v>18008.45</v>
      </c>
      <c r="C10" s="1">
        <v>7814.33</v>
      </c>
      <c r="D10" s="1">
        <v>814.31</v>
      </c>
      <c r="E10" s="1">
        <v>-17194.14</v>
      </c>
    </row>
    <row r="11" spans="1:5" x14ac:dyDescent="0.25">
      <c r="A11" t="s">
        <v>14</v>
      </c>
      <c r="B11" s="1">
        <v>20861.66</v>
      </c>
      <c r="C11" s="1">
        <v>6854.56</v>
      </c>
      <c r="D11" s="1">
        <v>1394.18</v>
      </c>
      <c r="E11" s="1">
        <v>-19467.48</v>
      </c>
    </row>
    <row r="12" spans="1:5" x14ac:dyDescent="0.25">
      <c r="A12" t="s">
        <v>15</v>
      </c>
      <c r="B12" s="1">
        <v>34835.46</v>
      </c>
      <c r="C12" s="1">
        <v>9778.75</v>
      </c>
      <c r="D12" s="1">
        <v>2523.75</v>
      </c>
      <c r="E12" s="1">
        <v>-32311.71</v>
      </c>
    </row>
    <row r="13" spans="1:5" x14ac:dyDescent="0.25">
      <c r="A13" t="s">
        <v>16</v>
      </c>
      <c r="B13" s="1">
        <v>20877.23</v>
      </c>
      <c r="C13" s="1">
        <v>13580.2</v>
      </c>
      <c r="D13" s="1">
        <v>3517.09</v>
      </c>
      <c r="E13" s="1">
        <v>-17360.14</v>
      </c>
    </row>
    <row r="14" spans="1:5" x14ac:dyDescent="0.25">
      <c r="A14" t="s">
        <v>17</v>
      </c>
      <c r="B14" s="1">
        <v>13696.68</v>
      </c>
      <c r="C14" s="1">
        <v>12374.47</v>
      </c>
      <c r="D14" s="1">
        <v>2668.01</v>
      </c>
      <c r="E14" s="1">
        <v>-11028.67</v>
      </c>
    </row>
    <row r="15" spans="1:5" x14ac:dyDescent="0.25">
      <c r="A15" t="s">
        <v>18</v>
      </c>
      <c r="B15" s="1">
        <v>14275.77</v>
      </c>
      <c r="C15" s="1">
        <v>12150.04</v>
      </c>
      <c r="D15" s="1">
        <v>3494.79</v>
      </c>
      <c r="E15" s="1">
        <v>-10780.98</v>
      </c>
    </row>
    <row r="16" spans="1:5" x14ac:dyDescent="0.25">
      <c r="A16" t="s">
        <v>19</v>
      </c>
      <c r="B16" s="1">
        <v>19202.310000000001</v>
      </c>
      <c r="C16" s="1">
        <v>16281.16</v>
      </c>
      <c r="D16" s="1">
        <v>4066.05</v>
      </c>
      <c r="E16" s="1">
        <v>-15136.26</v>
      </c>
    </row>
    <row r="17" spans="1:5" x14ac:dyDescent="0.25">
      <c r="A17" t="s">
        <v>20</v>
      </c>
      <c r="B17" s="1">
        <v>21889.59</v>
      </c>
      <c r="C17" s="1">
        <v>14512.55</v>
      </c>
      <c r="D17" s="1">
        <v>4206.8</v>
      </c>
      <c r="E17" s="1">
        <v>-17682.79</v>
      </c>
    </row>
    <row r="18" spans="1:5" x14ac:dyDescent="0.25">
      <c r="A18" t="s">
        <v>21</v>
      </c>
      <c r="B18" s="1">
        <v>16489.39</v>
      </c>
      <c r="C18" s="1">
        <v>18314.84</v>
      </c>
      <c r="D18" s="1">
        <v>4724.3999999999996</v>
      </c>
      <c r="E18" s="1">
        <v>-11764.99</v>
      </c>
    </row>
    <row r="19" spans="1:5" x14ac:dyDescent="0.25">
      <c r="A19" t="s">
        <v>22</v>
      </c>
      <c r="B19" s="1">
        <v>23715.040000000001</v>
      </c>
      <c r="C19" s="1">
        <v>19823.62</v>
      </c>
      <c r="D19" s="1">
        <v>4821.29</v>
      </c>
      <c r="E19" s="1">
        <v>-18893.75</v>
      </c>
    </row>
    <row r="20" spans="1:5" x14ac:dyDescent="0.25">
      <c r="A20" t="s">
        <v>23</v>
      </c>
      <c r="B20" s="1">
        <v>20058.84</v>
      </c>
      <c r="C20" s="1">
        <v>18465.75</v>
      </c>
      <c r="D20" s="1">
        <v>4035.97</v>
      </c>
      <c r="E20" s="1">
        <v>-16022.869999999901</v>
      </c>
    </row>
    <row r="21" spans="1:5" x14ac:dyDescent="0.25">
      <c r="A21" t="s">
        <v>24</v>
      </c>
      <c r="B21" s="1">
        <v>19019.41</v>
      </c>
      <c r="C21" s="1">
        <v>17126.900000000001</v>
      </c>
      <c r="D21" s="1">
        <v>3981.72</v>
      </c>
      <c r="E21" s="1">
        <v>-15037.69</v>
      </c>
    </row>
    <row r="22" spans="1:5" x14ac:dyDescent="0.25">
      <c r="A22" t="s">
        <v>25</v>
      </c>
      <c r="B22" s="1">
        <v>18346.59</v>
      </c>
      <c r="C22" s="1">
        <v>14036.75</v>
      </c>
      <c r="D22" s="1">
        <v>2744.64</v>
      </c>
      <c r="E22" s="1">
        <v>-15601.95</v>
      </c>
    </row>
    <row r="23" spans="1:5" x14ac:dyDescent="0.25">
      <c r="A23" t="s">
        <v>26</v>
      </c>
      <c r="B23" s="1">
        <v>23271.58</v>
      </c>
      <c r="C23" s="1">
        <v>9938.24</v>
      </c>
      <c r="D23" s="1">
        <v>2193.62</v>
      </c>
      <c r="E23" s="1">
        <v>-21077.96</v>
      </c>
    </row>
    <row r="24" spans="1:5" x14ac:dyDescent="0.25">
      <c r="A24" t="s">
        <v>27</v>
      </c>
      <c r="B24" s="1">
        <v>26547.32</v>
      </c>
      <c r="C24" s="1">
        <v>7722.05</v>
      </c>
      <c r="D24" s="1">
        <v>1675.07</v>
      </c>
      <c r="E24" s="1">
        <v>-24872.25</v>
      </c>
    </row>
    <row r="25" spans="1:5" x14ac:dyDescent="0.25">
      <c r="A25" t="s">
        <v>28</v>
      </c>
      <c r="B25" s="1">
        <v>35412.379999999997</v>
      </c>
      <c r="C25" s="1">
        <v>3369.97</v>
      </c>
      <c r="D25" s="1">
        <v>565.84</v>
      </c>
      <c r="E25" s="1">
        <v>-34846.54</v>
      </c>
    </row>
    <row r="26" spans="1:5" x14ac:dyDescent="0.25">
      <c r="B26" s="2">
        <f>SUM(B2:B25)</f>
        <v>503506.14</v>
      </c>
      <c r="C26" s="2">
        <f t="shared" ref="C26:E26" si="0">SUM(C2:C25)</f>
        <v>236015.05</v>
      </c>
      <c r="D26" s="2">
        <f t="shared" si="0"/>
        <v>56219.55</v>
      </c>
      <c r="E26" s="2">
        <f t="shared" si="0"/>
        <v>-447286.58999999979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ROAS vs Actual ROI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Gerishom Madivoli</dc:creator>
  <cp:lastModifiedBy>Gerishom Madivoli</cp:lastModifiedBy>
  <dcterms:created xsi:type="dcterms:W3CDTF">2026-06-04T00:07:07Z</dcterms:created>
  <dcterms:modified xsi:type="dcterms:W3CDTF">2026-06-29T00:39:19Z</dcterms:modified>
</cp:coreProperties>
</file>